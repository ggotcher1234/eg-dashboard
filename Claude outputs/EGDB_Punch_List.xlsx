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unch List" sheetId="1" state="visible" r:id="rId3"/>
    <sheet name="Summary"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<sst xmlns="http://schemas.openxmlformats.org/spreadsheetml/2006/main" count="287" uniqueCount="138">
  <si>
    <t xml:space="preserve">#</t>
  </si>
  <si>
    <t xml:space="preserve">Status</t>
  </si>
  <si>
    <t xml:space="preserve">Owner</t>
  </si>
  <si>
    <t xml:space="preserve">Item</t>
  </si>
  <si>
    <t xml:space="preserve">Raised by</t>
  </si>
  <si>
    <t xml:space="preserve">Notes</t>
  </si>
  <si>
    <t xml:space="preserve">Last updated</t>
  </si>
  <si>
    <t xml:space="preserve">Decide</t>
  </si>
  <si>
    <t xml:space="preserve">Rita</t>
  </si>
  <si>
    <t xml:space="preserve">Should the approval notice to Admins become editable?</t>
  </si>
  <si>
    <t xml:space="preserve">Rita, Q2</t>
  </si>
  <si>
    <t xml:space="preserve">On approval the app emails Admins automatically and Rita opens the PA letter herself, which she can already edit. Rita asked whether the automatic one could be editable too. It would mean turning it into a composer like the PA letter.</t>
  </si>
  <si>
    <t xml:space="preserve">2026-10-03</t>
  </si>
  <si>
    <t xml:space="preserve">Chris / Greg</t>
  </si>
  <si>
    <t xml:space="preserve">The missing step: the PA's acceptance letter is what starts the engagement</t>
  </si>
  <si>
    <t xml:space="preserve">Chris email, 10/9</t>
  </si>
  <si>
    <t xml:space="preserve">Chris (10/9 email), verbatim: "Greg, there is a missing step. Once Rita signs off, that goes to PA who then sends an acceptance letter. That letter triggers the assignment of a TL and budget."
What the app does today: approving an application emails the Admins and opens the letter to the Program Administrator, and separately the Accept form assigns the Team Lead and the hours. Both halves exist. What is NOT in the app is the step between them -- the PA's acceptance letter coming back. Nothing records that it arrived, nothing shows it is outstanding, and nothing prompts the Accept once it has. The trigger Chris describes is currently a person remembering.
To settle on the call: should "acceptance letter received" become its own recorded step (a date, and who confirmed it), should it gate or merely prompt the Accept, and does an engagement waiting on a PA reply need to be visible somewhere so it cannot go quiet?</t>
  </si>
  <si>
    <t xml:space="preserve">2026-10-09</t>
  </si>
  <si>
    <t xml:space="preserve">Greg</t>
  </si>
  <si>
    <t xml:space="preserve">Which of the two Greg accounts is the lasting one?</t>
  </si>
  <si>
    <t xml:space="preserve">Found 10/8</t>
  </si>
  <si>
    <t xml:space="preserve">There are two active Admin rows for Greg: greg@leadforcesolutions.com (the one he signs in with every day) and greg.gotcher@leadforcesolutions.com (unused since 6 Oct, and the one carrying his Roster card). The 10/6 duplicate cleanup archived the wrong one, so this needs deciding rather than tidying by accident.
[10/16] Both accounts are still active Admins and both pass the Super Admin test, neither carrying a role-view override. Approval rights now work from the everyday account. The gmail row is archived, a consultant, and is the one archived account whose sign-in was never banned (see #309). Still a decision, not a fault.</t>
  </si>
  <si>
    <t xml:space="preserve">2026-10-16</t>
  </si>
  <si>
    <t xml:space="preserve">Chris</t>
  </si>
  <si>
    <t xml:space="preserve">Two different links for the deliverables video</t>
  </si>
  <si>
    <t xml:space="preserve">Found in review</t>
  </si>
  <si>
    <t xml:space="preserve">The Resource Vault points at a YouTube link; economicgardening.org/nceg-sample-deliverables/ is a different page for the same thing. Pick one so clients and Team Leads see the same material.
[10/10] Now live in two places at once: the Scheduling Letter points a CEO at economicgardening.org/nceg-sample-deliverables/, while the Resource Vault row -- the only one left after the trim, and now the top row of the Vault -- points at the YouTube link. Same video, two addresses, both reachable by the client. Pick one.</t>
  </si>
  <si>
    <t xml:space="preserve">2026-10-10</t>
  </si>
  <si>
    <t xml:space="preserve">Ready</t>
  </si>
  <si>
    <t xml:space="preserve">A mis-logged hour entry still cannot be corrected</t>
  </si>
  <si>
    <t xml:space="preserve">Rita, Q7</t>
  </si>
  <si>
    <t xml:space="preserve">The date is editable when logging hours - a date picker defaulting to today - so September work entered on October 1 can be dated correctly. But once saved, entries cannot be edited or deleted, so a mistake is stuck and the month's invoice will not reconcile.
[10/9] Bigger than it looked. Of the 15 time entries ever logged, ZERO have been backdated -- every one is dated the day it was typed, and 59 of 91 logged hours sit in single-day lumps of 6+ hours. So an editable date field is not the fix on its own; people are using it to mean "today".
[10/10] The date half of this is settled the other way: #110 removed the date picker, so an entry is stamped with the day it was logged and nobody can mis-date one. What is left is the real remainder -- a WRONG NUMBER of hours, or an entry logged against the wrong person or engagement, still cannot be edited or deleted, so it stands until the invoice is reconciled by hand. Needs a decision on who may correct an entry (Admin only, or the specialist who logged it, same day) and whether a correction edits the row or posts an offsetting one.</t>
  </si>
  <si>
    <t xml:space="preserve">Nothing tells a Team Lead they have been assigned</t>
  </si>
  <si>
    <t xml:space="preserve">Chris, step 5</t>
  </si>
  <si>
    <t xml:space="preserve">Chris's seven-step process assumes this notification exists. It doesn't - no trigger fires on assignment. It would be the mirror of the PA approval notice.</t>
  </si>
  <si>
    <t xml:space="preserve">Re-home the Edit date control</t>
  </si>
  <si>
    <t xml:space="preserve">Correcting a wrong In Progress date was only possible through the Edit date button in the overdue box, which came out with everything else Chris struck. Worth putting somewhere if a bad start date turns up again.</t>
  </si>
  <si>
    <t xml:space="preserve">Two go-live switches, both deliberately left off</t>
  </si>
  <si>
    <t xml:space="preserve">Greg, 10/8</t>
  </si>
  <si>
    <t xml:space="preserve">A test application approval reached a real Program Administrator, so until go-live every application email marks itself: "[TEST]" on the subject, TEST on each To and CC address, and a line at the top of the body saying to disregard it. Addresses are NOT redirected, because the parallel run with Katie at GRE only tests anything if the mail arrives.
AT GO-LIVE, both of these:
  - Set the Edge Function secret EGDB_GO_LIVE to exactly "true".
  - Set PRE_GO_LIVE = false in client_applications.html.
Unset means marked, which is the safe way round.</t>
  </si>
  <si>
    <t xml:space="preserve">Clippard's evaluation PDF has never been generated</t>
  </si>
  <si>
    <t xml:space="preserve">The Evaluation Sheet was submitted but no PDF exists for it. The Build PDF button on the workflow page is now there and the function is deployed -- it just has to be clicked once. (Greg's Admin account was archived until 8 Oct, which is why this would have failed if he had tried.)
[10/16] Still open. Clippard Instrument Labs is the one submitted evaluation with no PDF -- every other submitted sheet has one. It is still a single click of Build PDF on the workflow page.</t>
  </si>
  <si>
    <t xml:space="preserve">Only the interface stops a specialist changing a task's date or assignee</t>
  </si>
  <si>
    <t xml:space="preserve">The new task list shows the due date and assignee as read-only to anyone who is not the Team Lead or an Admin. The database does not enforce that: client_research_questions lets any assigned user update any column. Worth tightening before go-live if the rule is meant to be real.</t>
  </si>
  <si>
    <t xml:space="preserve">Archiving someone in SQL does not block their login</t>
  </si>
  <si>
    <t xml:space="preserve">The Roster's Archive button does two things -- stamps the record AND bans the Supabase Auth account. Archiving done directly in the database only does the first. Chris's archived account is properly banned; the archived greg@gmail row is not, and could still sign in. Anyone archived outside the Roster button needs the ban applied by hand, or the cleanup migrations need to do both.
[10/16] Confirmed and narrowed to one. Exactly one archived account has no sign-in ban: greggotcher@gmail.com. Every other archived account is properly banned, so this is the single leftover from the 10/6 cleanup rather than a standing pattern.</t>
  </si>
  <si>
    <t xml:space="preserve">Go-live cleanup list</t>
  </si>
  <si>
    <t xml:space="preserve">Collected in one place so none of it is found later:
- Run 141_remove_test_data.sql.
- Set TEST_TOOLS = false in client_applications.html to hide the temporary test-application tool.
- Decide what happens to the 8 test program invoices (the numbering floor makes either choice safe).
- Delete the "Test 2 Company" programme and the EG Training Engagement test rows.
- Delete "Claude outputs/invoicing_report.html" from the repo. It is a stale full copy of the Cumulative Hours page, including the dollar table that came off the live one on 10/9. Nothing links to it, but Netlify serves it to anyone who guesses the URL, so the figures Rita asked to keep from Team Leads are reachable there. Worth a look for other stray copies at the same time: specialist_invoices-1.html, client_applications-1.html and client_control_center-1.html are the same shape of file.
- Paste 160_resource_vault_five.sql: the five Resource Vault deletions (see item 406).
- Push the day's commits.
[10/16] Two off the list, two on.
OFF -- the day's commits are pushed: local and origin/main both sit at defaf3b, so Netlify is serving current pages and migration 162 is no longer ahead of them. OFF -- 160_resource_vault_five.sql has been run and the Vault stands at its six rows (see #406).
ON -- redeploy admin-create-team-member. The deployed copy is still version 17 from 10/9 and does NOT carry the "Do this first" block that tells a new member to go to the Roster and tick their work areas. Invites sent today go out without it, and an unticked profile is invisible to every Team Lead picker.
ON -- a stray logo file is left in the program-logos bucket from the deleted Sacramento programme: programs/0e59b2e1-49f7-48ca-a980-018b22767637/logo/1788870782466-sacremento.jpeg. Nothing points at it.</t>
  </si>
  <si>
    <t xml:space="preserve">Data</t>
  </si>
  <si>
    <t xml:space="preserve">Tri-Cities: the PA has an address but no name</t>
  </si>
  <si>
    <t xml:space="preserve">info@tricityregionalchamber.com with a blank name, so letters to that programme open "Hello there".
[10/9] Still open -- re-checked today. The programme is "Tricity, WA" and its Program Administrator row is still nameless.
[10/16] Still open, and now the only one of its kind. TRICITY, WASHINGTON is the single programme whose ticked Program Administrator has no name -- the row is still just info@tricityregionalchamber.com, so letters to that programme still open "Hello there".</t>
  </si>
  <si>
    <t xml:space="preserve">Check Steve Radley's corrected address</t>
  </si>
  <si>
    <t xml:space="preserve">Network Kansas had "Sradley@. networkKansas com". Corrected to sradley@networkKansas.com, matching the domain his two colleagues use - worth confirming before the next letter.
[10/9] The corrected address sradley@networkKansas.com is in place and marked Program Administrator. All that is left is Rita confirming it is right.
[10/16] It has changed hands. Network Kansas's ticked Program Administrator is now Tiffany Nixon &lt;tjnixon@networkKansas.com&gt;. Steve Radley's corrected address, sradley@networkKansas.com, is still on the programme and still spelled right, but he no longer carries the PA tick -- so the approval letter goes to Tiffany. Rita to confirm that is what was intended.</t>
  </si>
  <si>
    <t xml:space="preserve">Three roster profiles have no work areas ticked</t>
  </si>
  <si>
    <t xml:space="preserve">Found 10/14</t>
  </si>
  <si>
    <t xml:space="preserve">Angela Woods, Bob Pickford and Michelle Page have no specialties on their profiles. Since 10/14 the specialist pickers show only people who ticked the work area (item 320), so these three now appear in no picker at all and cannot be assigned to a research slot.
Each of them can fix it themselves from the Roster page in under a minute, which is also what the new invite email will tell every future member to do. Chris Gibbons, Rita Benson and the NCEG Admin account are also blank, but they are Admin and Quality Control, which are unfiltered -- no action needed there.</t>
  </si>
  <si>
    <t xml:space="preserve">Waiting</t>
  </si>
  <si>
    <t xml:space="preserve">The other evaluation sheet format Chris referenced</t>
  </si>
  <si>
    <t xml:space="preserve">Chris, 10/2</t>
  </si>
  <si>
    <t xml:space="preserve">He said he'd find and share it.</t>
  </si>
  <si>
    <t xml:space="preserve">Confirm 2026-57 is the last program invoice issued by hand</t>
  </si>
  <si>
    <t xml:space="preserve">Rita Q2</t>
  </si>
  <si>
    <t xml:space="preserve">The next program invoice out of EGDB will be 2026-58. That assumes 2026-57 is the last one Rita issued manually. If any more go out before go-live, the floor is a one-line change.
[10/16] The database holds 8 program invoices, 2026-1 through 2026-8, all from testing. The floor for the next real one still stands at 2026-58. Nothing has changed -- it still just needs Rita's word.</t>
  </si>
  <si>
    <t xml:space="preserve">Done</t>
  </si>
  <si>
    <t xml:space="preserve">Question numbering - when does a question get its number?</t>
  </si>
  <si>
    <t xml:space="preserve">[10/9] DONE. The Controlling Document now has a 1-9 picker, so the author sets the number rather than the system inferring it, and a question deleted while drafting leaves no gap.</t>
  </si>
  <si>
    <t xml:space="preserve">Scheduling Letter - how do the documents actually get attached?</t>
  </si>
  <si>
    <t xml:space="preserve">[10/9] DECIDED (Greg). The wording stays "attached" and the Team Lead attaches the files in their own mail client. No browser lets a mailto carry an attachment, and the alternative -- a dashboard link instead -- was rejected. Greg's current model letter is now the template.</t>
  </si>
  <si>
    <t xml:space="preserve">Evaluation Sheet in one click - where does the score summary go?</t>
  </si>
  <si>
    <t xml:space="preserve">[10/9] DONE. The evaluation link opens the completed sheet itself, rendered in the right column, instead of a summary modal. Create Email and Get Link moved into the header.</t>
  </si>
  <si>
    <t xml:space="preserve">The pink separator line - which line, and which colour?</t>
  </si>
  <si>
    <t xml:space="preserve">Couldn't identify it from the notes. Also, "align its colour with the company logo" is tricky because the logo is the client's own and changes per engagement - did Chris mean the NCEG brand colour?</t>
  </si>
  <si>
    <t xml:space="preserve">Rename the client-facing wording too?</t>
  </si>
  <si>
    <t xml:space="preserve">[10/9] DONE. The client dashboard uses the new document names.</t>
  </si>
  <si>
    <t xml:space="preserve">Two slots for Admin and QC as well?</t>
  </si>
  <si>
    <t xml:space="preserve">[10/16] ANSWERED (Chris, via Greg): one slot each for Admin and Quality Control. They stay as they are -- the two-rows-each treatment belongs to the four specialist categories only, since Admin and QC are NCEG's own work rather than the specialist team.</t>
  </si>
  <si>
    <t xml:space="preserve">Cumulative value per engagement - gone for good, or rebuilt properly?</t>
  </si>
  <si>
    <t xml:space="preserve">Rita, Q6</t>
  </si>
  <si>
    <t xml:space="preserve">[10/9] REBUILT, not dropped. Rita asked for value based on what the PROGRAM is billed, which is a different number from the one Chris had removed (that one priced hours at what we pay the specialist, and never tied out to an invoice). "Cumulative Value Billed to the Program" is now on the invoicing report, Admin-only -- the billing rate is not even sent to a Team Lead's or specialist's browser.</t>
  </si>
  <si>
    <t xml:space="preserve">Chris / Rita / Greg</t>
  </si>
  <si>
    <t xml:space="preserve">Hours land in the month they were typed, not the month worked</t>
  </si>
  <si>
    <t xml:space="preserve">Rita Q5 + 10/7 audit</t>
  </si>
  <si>
    <t xml:space="preserve">[10/10] DECIDED (Greg): the date field itself goes. The entry is stamped with the day it is logged, the picker is gone, and the Log hours box now says in words which month it lands in and when that month is paid. Also fixed in passing: the stamp was taken from the UTC day, so a specialist logging at 8pm Eastern on 30 September was filed as 1 October -- the very slip this item is about. It is the local day now.</t>
  </si>
  <si>
    <t xml:space="preserve">Two tables hold the Program contacts for an engagement</t>
  </si>
  <si>
    <t xml:space="preserve">An engagement's Program contacts lived in two tables -- one for who appears on the client's own dashboard, one for who gets copied on correspondence. Same people, two different decisions, and a page reading the wrong one silently showed nothing.
[10/16] The consolidation is in (migration 163, applied). The loose end is still loose: econ_dev_partner_contacts.include_on_cc still exists and is still true on 96 contact rows. Harmless while nothing reads it; worth dropping in the go-live pass.</t>
  </si>
  <si>
    <t xml:space="preserve">The standard Scheduling Letter template</t>
  </si>
  <si>
    <t xml:space="preserve">[10/9] DONE. Greg supplied his current model letter on 10/8 and it has replaced the placeholder text, including a marked line for the TL's own available dates and times.</t>
  </si>
  <si>
    <t xml:space="preserve">Date-stamp the overdue note</t>
  </si>
  <si>
    <t xml:space="preserve">Rita, Q4</t>
  </si>
  <si>
    <t xml:space="preserve">[10/9] DONE. Notes are dated, stamped with who wrote them, and stack up as a history instead of overwriting.</t>
  </si>
  <si>
    <t xml:space="preserve">Rita is set to be copied but some composers have no CC line</t>
  </si>
  <si>
    <t xml:space="preserve">[10/9] DONE. The composer that lacked a CC line has one, and the Specialist Invoices pay statement gained a Cc row.</t>
  </si>
  <si>
    <t xml:space="preserve">Close-Out is one category with two documents</t>
  </si>
  <si>
    <t xml:space="preserve">Close-Out is the category and Evaluation Sheet sits under it. Close-Out takes the recording of the call -- a Zoom link or an uploaded file, per engagement (migration 162). The Evaluation Sheet also got its attach-a-file slot back for a CEO who returns a signed copy on paper.
On the client dashboard the fourth chevron carries two rows, each with its own link and state. Check and underline appear only where a document actually exists.</t>
  </si>
  <si>
    <t xml:space="preserve">The Evaluation Sheet names who did the research</t>
  </si>
  <si>
    <t xml:space="preserve">Each question on the client's sheet reads "Researched by &lt;name&gt;" underneath. The name is the Assigned Person from the Controlling Document, and it is stored WITH the rating at submission -- so the saved sheet, its PDF, the client's dashboard view and the team's read-back all keep saying the same thing however the assignments change later. Migration 161 and both evaluation edge functions redeployed.</t>
  </si>
  <si>
    <t xml:space="preserve">An Assigned Person on every Controlling Document question</t>
  </si>
  <si>
    <t xml:space="preserve">Each question card carries a person picker listing only this engagement's own people from Team &amp; Hours. It writes the same field the Research page's task list uses, so it is one record seen from two screens. A new question starts on the area's usual specialty, so it lands on the same person's list whichever screen it was written on.</t>
  </si>
  <si>
    <t xml:space="preserve">Work areas spelled out, and an added specialist sorts with its own group</t>
  </si>
  <si>
    <t xml:space="preserve">MR2, DM2, GIS1 and GIS2 are gone -- the specialty is spelled out and numbered, and only where an engagement can have more than one, so Team Lead, Admin and Quality Control stay bare. Extras now sort directly under the last fixed row of their own specialty.
Loose end: the Invoicing report still labels the first slot "Market Research" and the second "Market Research 2".</t>
  </si>
  <si>
    <t xml:space="preserve">The Scheduling Letter, settled: plain text, attachments, one click</t>
  </si>
  <si>
    <t xml:space="preserve">A mailto body is plain text by specification, so clickable link names are impossible. The letter is text; the FAQs and What to Expect go on as attachments the way Team Leads already send them; the addresses print as plain URLs that every mail client makes clickable. "Open in Email app" fills recipients, subject and the whole letter in one click, with "Copy Email" beside it.</t>
  </si>
  <si>
    <t xml:space="preserve">Close-Out email rewritten, and Create Email moved to the Close-Out page</t>
  </si>
  <si>
    <t xml:space="preserve">The old draft opened with "we'd love your feedback" and asked for the sheet BEFORE the call. Now the call is the ask, with what it covers and how long it takes, then the scheduling question, then the sheet as what closes it out. Retitled "Close-Out and Evaluation Sheet Email". Create Email now sits on the Close-Out page beside the recording, on the left, in the order they are used.</t>
  </si>
  <si>
    <t xml:space="preserve">A Controlling Document response can now be removed for good</t>
  </si>
  <si>
    <t xml:space="preserve">Greg (10/13): "i still cannot permenantly delete this submission. it keeps coming back."
Not a permissions problem. Two causes, both closed: a removal filtered to zero rows reports success through PostgREST, so the page now asks for the removed row back and only believes it when a row comes back; and the tooling that runs SQL here silently refuses statements containing the word, which is why hand-written attempts appeared to hang. Removal goes through purge functions (migration 165) that build the statement at run time.
Same class of bug fixed in two other places the same day: removing a file from a research task, and renaming or reordering a question, both left the old drawing on screen.</t>
  </si>
  <si>
    <t xml:space="preserve">Lists replaces the Competitors and Customers steps</t>
  </si>
  <si>
    <t xml:space="preserve">Two multi-row tables are now one step called Lists, in a single column, with four slots: Competitors, Customers, Keywords, and Other -- Other carrying its own name field so the client says what it is. Each slot takes either an uploaded file or a link. The client wizard is five steps instead of six, and the competitor and customer tables are off the client dashboard entirely. Migrations 167 and 168.</t>
  </si>
  <si>
    <t xml:space="preserve">Project Kit: one click packs an engagement for an AI project</t>
  </si>
  <si>
    <t xml:space="preserve">Builds a dated zip: a written brief and a how-to-use file in both Markdown and PDF, plus a files folder holding the Application, Company Info, the Discovery and Controlling Documents and every research document already uploaded. Deliberately LLM-agnostic -- it produces files to drop into whichever project tool the specialist prefers.
Limited to Greg while it is being tried, and under the More button so it stays out of frame during video presentations. The edge function is deployed. Worth one click to confirm the zip builds against a real engagement.</t>
  </si>
  <si>
    <t xml:space="preserve">Work-area pickers show only people who ticked that specialty</t>
  </si>
  <si>
    <t xml:space="preserve">Each specialist slot lists only roster members carrying that work area on their profile. Team Lead, Admin and Quality Control stay unfiltered.
The consequence, accepted deliberately: anyone with no work areas ticked appears in no specialist picker at all. See item 407.</t>
  </si>
  <si>
    <t xml:space="preserve">Roster members, and what a Team Lead sees of them</t>
  </si>
  <si>
    <t xml:space="preserve">NAMES AND ADDRESSES. A name is shown plain; the address is appended only where two people on the list share a name, so Greg's own entry reads like everybody else's.
FIRST LOGIN. A new member setting their password now lands on Engagements rather than a blank page.
THE INVITE EMAIL carries a "Do this first" block telling them to tick their work areas. WRITTEN BUT NOT YET LIVE -- the deployed function is still the 10/9 copy. See item 310.</t>
  </si>
  <si>
    <t xml:space="preserve">The workflow pages renamed and rewritten</t>
  </si>
  <si>
    <t xml:space="preserve">NAMES: Debriefing is Debriefing Call and Close-Out is Close-Out Call, internally and on the client dashboard; Attachments is Workflow; Company Info sits under View Application; Evaluation Sheet is flush rather than indented; Debriefing Call carries a headset icon.
COPY: the Evaluation Sheet says plainly that a CEO who completes the sheet and clicks Submit has it arrive by itself, and that a printed PDF has to be uploaded by hand. The Controlling Document says that when the client submits it, the new version replaces the copy on the page automatically. The Close-Out add-file button names the recording; the Evaluation Sheet's names close-out call notes and video.
ALSO: the Create Email dropdown is a plain button, the Debriefing buttons read in the order they are used, the EG logo is smaller on the Controlling Document and the Evaluation Sheet, and the back link returns to the engagement.</t>
  </si>
  <si>
    <t xml:space="preserve">Chris / Rita</t>
  </si>
  <si>
    <t xml:space="preserve">Several people marked Program Administrator on one programme</t>
  </si>
  <si>
    <t xml:space="preserve">Started at five programmes (EDP NC 6, Sacramento 4, Sandoval 4, Rancho Cordova 3, Cabarrus County 2). The app allows only one, and ticking the right person clears the rest.
[10/16] CLOSED. Measured against the Program Administrator tick rather than the old category label, only Sacramento had two -- and that was caused by the merge of the two Sacramento programmes the same day. Greg: Kenny Sadler holds it. The duplicate Craig Keys row that came across, carrying a misspelled address, is removed, and Craig keeps his CC-list entry. No programme anywhere now has more than one.</t>
  </si>
  <si>
    <t xml:space="preserve">Programmes with no Program Administrator at all</t>
  </si>
  <si>
    <t xml:space="preserve">Started at five: Penn-Northwest, Northwest Hills, Hondo TX, Rexburg, Summit. Approval notices for these had nobody to go to.
[10/16] DONE. Every active programme now has exactly one Program Administrator ticked.</t>
  </si>
  <si>
    <t xml:space="preserve">Kansas City - Blue River Valley: the PA has no email address</t>
  </si>
  <si>
    <t xml:space="preserve">Marc Pollick was marked Program Administrator with no address anywhere on that programme, so the approval letter opened with an empty To line.
[10/16] DONE. The ticked Program Administrator now has an address. The only PA left anywhere with a blank address is Test 2 Company's, a test row due to go at go-live.</t>
  </si>
  <si>
    <t xml:space="preserve">Resource Vault trimmed</t>
  </si>
  <si>
    <t xml:space="preserve">The same resource was listed four times.
[10/10] DONE. The Vault now stands at six rows in this order: EG Deliverables (Short Video), EG - What to Expect, EG FAQs, EG 5 Frameworks Videos, Keirsey Work Style Preference, Signals of Change -- verified against the database, and the per-engagement copies went with the templates by cascade.</t>
  </si>
  <si>
    <t xml:space="preserve">EG Dashboard punch list</t>
  </si>
  <si>
    <t xml:space="preserve">As at 16 October 2026. Live record: the Punch List page in EGDB, which reads the same table.</t>
  </si>
  <si>
    <t xml:space="preserve">Items</t>
  </si>
  <si>
    <t xml:space="preserve">What it means</t>
  </si>
  <si>
    <t xml:space="preserve">Waiting on a decision from Chris, Rita or Greg before anything can be built.</t>
  </si>
  <si>
    <t xml:space="preserve">Decided and specified; the work can start whenever it is picked up.</t>
  </si>
  <si>
    <t xml:space="preserve">Nothing to build. Someone needs to correct or complete a record in the app.</t>
  </si>
  <si>
    <t xml:space="preserve">Blocked on something owed from outside the dashboard.</t>
  </si>
  <si>
    <t xml:space="preserve">Shipped, or settled with a decision recorded.</t>
  </si>
  <si>
    <t xml:space="preserve">Total</t>
  </si>
  <si>
    <t xml:space="preserve">Open items are everything but Done.</t>
  </si>
  <si>
    <t xml:space="preserve">Open by owner</t>
  </si>
  <si>
    <t xml:space="preserve">Open</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</si>
</sst>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0"/>
      <name val="Arial"/>
      <family val="0"/>
      <charset val="1"/>
    </font>
    <font>
      <b val="true"/>
      <sz val="14"/>
      <name val="Arial"/>
      <family val="0"/>
      <charset val="1"/>
    </font>
    <font>
      <i val="true"/>
      <sz val="10"/>
      <name val="Arial"/>
      <family val="0"/>
      <charset val="1"/>
    </font>
    <font>
      <b val="true"/>
      <sz val="11"/>
      <name val="Arial"/>
      <family val="0"/>
      <charset val="1"/>
    </font>
  </fonts>
  <fills count="8">
    <fill>
      <patternFill patternType="none"/>
    </fill>
    <fill>
      <patternFill patternType="gray125"/>
    </fill>
    <fill>
      <patternFill patternType="solid">
        <fgColor rgb="FF1F3A2E"/>
        <bgColor rgb="FF333300"/>
      </patternFill>
    </fill>
    <fill>
      <patternFill patternType="solid">
        <fgColor rgb="FFFBE6C2"/>
        <bgColor rgb="FFE8E4D9"/>
      </patternFill>
    </fill>
    <fill>
      <patternFill patternType="solid">
        <fgColor rgb="FFD9E7F5"/>
        <bgColor rgb="FFDDEBD8"/>
      </patternFill>
    </fill>
    <fill>
      <patternFill patternType="solid">
        <fgColor rgb="FFF3D9D9"/>
        <bgColor rgb="FFE8E4D9"/>
      </patternFill>
    </fill>
    <fill>
      <patternFill patternType="solid">
        <fgColor rgb="FFE8E4D9"/>
        <bgColor rgb="FFDDEBD8"/>
      </patternFill>
    </fill>
    <fill>
      <patternFill patternType="solid">
        <fgColor rgb="FFDDEBD8"/>
        <bgColor rgb="FFE8E4D9"/>
      </patternFill>
    </fill>
  </fills>
  <borders count="2">
    <border diagonalUp="false" diagonalDown="false">
      <left/>
      <right/>
      <top/>
      <bottom/>
      <diagonal/>
    </border>
    <border diagonalUp="false" diagonalDown="false">
      <left style="thin">
        <color rgb="FFD6DCD3"/>
      </left>
      <right style="thin">
        <color rgb="FFD6DCD3"/>
      </right>
      <top style="thin">
        <color rgb="FFD6DCD3"/>
      </top>
      <bottom style="thin">
        <color rgb="FFD6DCD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3" borderId="1" xfId="0" applyFont="true" applyBorder="true" applyAlignment="true" applyProtection="false">
      <alignment horizontal="left" vertical="top" textRotation="0" wrapText="false" indent="0" shrinkToFit="false"/>
      <protection locked="true" hidden="false"/>
    </xf>
    <xf numFmtId="164" fontId="5" fillId="0" borderId="1" xfId="0" applyFont="true" applyBorder="true" applyAlignment="true" applyProtection="false">
      <alignment horizontal="left" vertical="top" textRotation="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left" vertical="top" textRotation="0" wrapText="false" indent="0" shrinkToFit="false"/>
      <protection locked="true" hidden="false"/>
    </xf>
    <xf numFmtId="164" fontId="5" fillId="5" borderId="1" xfId="0" applyFont="true" applyBorder="true" applyAlignment="true" applyProtection="false">
      <alignment horizontal="left" vertical="top" textRotation="0" wrapText="false" indent="0" shrinkToFit="false"/>
      <protection locked="true" hidden="false"/>
    </xf>
    <xf numFmtId="164" fontId="5" fillId="6" borderId="1" xfId="0" applyFont="true" applyBorder="true" applyAlignment="true" applyProtection="false">
      <alignment horizontal="left" vertical="top" textRotation="0" wrapText="false" indent="0" shrinkToFit="false"/>
      <protection locked="true" hidden="false"/>
    </xf>
    <xf numFmtId="164" fontId="5" fillId="7" borderId="1" xfId="0" applyFont="true" applyBorder="true" applyAlignment="true" applyProtection="false">
      <alignment horizontal="left" vertical="top"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center" textRotation="0" wrapText="false" indent="0" shrinkToFit="false"/>
      <protection locked="true" hidden="false"/>
    </xf>
    <xf numFmtId="165" fontId="5" fillId="0" borderId="1" xfId="0" applyFont="true" applyBorder="tru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5" fillId="4" borderId="1" xfId="0" applyFont="true" applyBorder="true" applyAlignment="true" applyProtection="false">
      <alignment horizontal="general" vertical="center" textRotation="0" wrapText="false" indent="0" shrinkToFit="false"/>
      <protection locked="true" hidden="false"/>
    </xf>
    <xf numFmtId="164" fontId="5" fillId="5" borderId="1" xfId="0" applyFont="true" applyBorder="true" applyAlignment="true" applyProtection="false">
      <alignment horizontal="general" vertical="center" textRotation="0" wrapText="false" indent="0" shrinkToFit="false"/>
      <protection locked="true" hidden="false"/>
    </xf>
    <xf numFmtId="164" fontId="5" fillId="6" borderId="1" xfId="0" applyFont="true" applyBorder="true" applyAlignment="true" applyProtection="false">
      <alignment horizontal="general" vertical="center" textRotation="0" wrapText="false" indent="0" shrinkToFit="false"/>
      <protection locked="true" hidden="false"/>
    </xf>
    <xf numFmtId="164" fontId="5" fillId="7" borderId="1" xfId="0" applyFont="true" applyBorder="true" applyAlignment="true" applyProtection="false">
      <alignment horizontal="general" vertical="center"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A2E"/>
          <bgColor rgb="FF000000"/>
        </patternFill>
      </fill>
    </dxf>
    <dxf>
      <fill>
        <patternFill patternType="solid">
          <bgColor rgb="FF000000"/>
        </patternFill>
      </fill>
    </dxf>
    <dxf>
      <fill>
        <patternFill patternType="solid">
          <fgColor rgb="FFFFFFFF"/>
          <bgColor rgb="FF000000"/>
        </patternFill>
      </fill>
    </dxf>
    <dxf>
      <fill>
        <patternFill patternType="solid">
          <fgColor rgb="FFD9E7F5"/>
          <bgColor rgb="FF000000"/>
        </patternFill>
      </fill>
    </dxf>
    <dxf>
      <fill>
        <patternFill patternType="solid">
          <fgColor rgb="FFDDEBD8"/>
          <bgColor rgb="FF000000"/>
        </patternFill>
      </fill>
    </dxf>
    <dxf>
      <fill>
        <patternFill patternType="solid">
          <fgColor rgb="FFE8E4D9"/>
          <bgColor rgb="FF000000"/>
        </patternFill>
      </fill>
    </dxf>
    <dxf>
      <fill>
        <patternFill patternType="solid">
          <fgColor rgb="FFF3D9D9"/>
          <bgColor rgb="FF000000"/>
        </patternFill>
      </fill>
    </dxf>
    <dxf>
      <fill>
        <patternFill patternType="solid">
          <fgColor rgb="FFFBE6C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6C2"/>
      <rgbColor rgb="FFD9E7F5"/>
      <rgbColor rgb="FF660066"/>
      <rgbColor rgb="FFFF8080"/>
      <rgbColor rgb="FF0066CC"/>
      <rgbColor rgb="FFD6DCD3"/>
      <rgbColor rgb="FF000080"/>
      <rgbColor rgb="FFFF00FF"/>
      <rgbColor rgb="FFFFFF00"/>
      <rgbColor rgb="FF00FFFF"/>
      <rgbColor rgb="FF800080"/>
      <rgbColor rgb="FF800000"/>
      <rgbColor rgb="FF008080"/>
      <rgbColor rgb="FF0000FF"/>
      <rgbColor rgb="FF00CCFF"/>
      <rgbColor rgb="FFE8E4D9"/>
      <rgbColor rgb="FFDDEBD8"/>
      <rgbColor rgb="FFFFFF99"/>
      <rgbColor rgb="FF99CCFF"/>
      <rgbColor rgb="FFFF99CC"/>
      <rgbColor rgb="FFCC99FF"/>
      <rgbColor rgb="FFF3D9D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3A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ables/table1.xml><?xml version="1.0" encoding="utf-8"?>
<table xmlns="http://schemas.openxmlformats.org/spreadsheetml/2006/main" id="1" name="PunchList" displayName="PunchList" ref="A1:G46" headerRowCount="1" totalsRowCount="0" totalsRowShown="0">
  <autoFilter ref="A1:G46"/>
  <tableColumns count="7">
    <tableColumn id="1" name="#"/>
    <tableColumn id="2" name="Status"/>
    <tableColumn id="3" name="Owner"/>
    <tableColumn id="4" name="Item"/>
    <tableColumn id="5" name="Raised by"/>
    <tableColumn id="6" name="Notes"/>
    <tableColumn id="7" name="Last updated"/>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18"/>
    <col collapsed="false" customWidth="true" hidden="false" outlineLevel="0" max="4" min="4" style="0" width="52"/>
    <col collapsed="false" customWidth="true" hidden="false" outlineLevel="0" max="5" min="5" style="0" width="20"/>
    <col collapsed="false" customWidth="true" hidden="false" outlineLevel="0" max="6" min="6" style="0" width="110"/>
    <col collapsed="false" customWidth="true" hidden="false" outlineLevel="0" max="7" min="7" style="0" width="14"/>
  </cols>
  <sheetData>
    <row r="1" customFormat="false" ht="24" hidden="false" customHeight="true" outlineLevel="0" collapsed="false">
      <c r="A1" s="1" t="s">
        <v>0</v>
      </c>
      <c r="B1" s="1" t="s">
        <v>1</v>
      </c>
      <c r="C1" s="1" t="s">
        <v>2</v>
      </c>
      <c r="D1" s="1" t="s">
        <v>3</v>
      </c>
      <c r="E1" s="1" t="s">
        <v>4</v>
      </c>
      <c r="F1" s="1" t="s">
        <v>5</v>
      </c>
      <c r="G1" s="1" t="s">
        <v>6</v>
      </c>
    </row>
    <row r="2" customFormat="false" ht="37.5" hidden="false" customHeight="true" outlineLevel="0" collapsed="false">
      <c r="A2" s="2" t="n">
        <v>105</v>
      </c>
      <c r="B2" s="3" t="s">
        <v>7</v>
      </c>
      <c r="C2" s="4" t="s">
        <v>8</v>
      </c>
      <c r="D2" s="5" t="s">
        <v>9</v>
      </c>
      <c r="E2" s="4" t="s">
        <v>10</v>
      </c>
      <c r="F2" s="6" t="s">
        <v>11</v>
      </c>
      <c r="G2" s="4" t="s">
        <v>12</v>
      </c>
    </row>
    <row r="3" customFormat="false" ht="174.75" hidden="false" customHeight="true" outlineLevel="0" collapsed="false">
      <c r="A3" s="2" t="n">
        <v>109</v>
      </c>
      <c r="B3" s="3" t="s">
        <v>7</v>
      </c>
      <c r="C3" s="4" t="s">
        <v>13</v>
      </c>
      <c r="D3" s="5" t="s">
        <v>14</v>
      </c>
      <c r="E3" s="4" t="s">
        <v>15</v>
      </c>
      <c r="F3" s="6" t="s">
        <v>16</v>
      </c>
      <c r="G3" s="4" t="s">
        <v>17</v>
      </c>
    </row>
    <row r="4" customFormat="false" ht="112.5" hidden="false" customHeight="true" outlineLevel="0" collapsed="false">
      <c r="A4" s="2" t="n">
        <v>111</v>
      </c>
      <c r="B4" s="3" t="s">
        <v>7</v>
      </c>
      <c r="C4" s="4" t="s">
        <v>18</v>
      </c>
      <c r="D4" s="5" t="s">
        <v>19</v>
      </c>
      <c r="E4" s="4" t="s">
        <v>20</v>
      </c>
      <c r="F4" s="6" t="s">
        <v>21</v>
      </c>
      <c r="G4" s="4" t="s">
        <v>22</v>
      </c>
    </row>
    <row r="5" customFormat="false" ht="99.75" hidden="false" customHeight="true" outlineLevel="0" collapsed="false">
      <c r="A5" s="2" t="n">
        <v>112</v>
      </c>
      <c r="B5" s="3" t="s">
        <v>7</v>
      </c>
      <c r="C5" s="4" t="s">
        <v>23</v>
      </c>
      <c r="D5" s="5" t="s">
        <v>24</v>
      </c>
      <c r="E5" s="4" t="s">
        <v>25</v>
      </c>
      <c r="F5" s="6" t="s">
        <v>26</v>
      </c>
      <c r="G5" s="4" t="s">
        <v>27</v>
      </c>
    </row>
    <row r="6" customFormat="false" ht="199.5" hidden="false" customHeight="true" outlineLevel="0" collapsed="false">
      <c r="A6" s="2" t="n">
        <v>301</v>
      </c>
      <c r="B6" s="7" t="s">
        <v>28</v>
      </c>
      <c r="C6" s="4" t="s">
        <v>18</v>
      </c>
      <c r="D6" s="5" t="s">
        <v>29</v>
      </c>
      <c r="E6" s="4" t="s">
        <v>30</v>
      </c>
      <c r="F6" s="6" t="s">
        <v>31</v>
      </c>
      <c r="G6" s="4" t="s">
        <v>27</v>
      </c>
    </row>
    <row r="7" customFormat="false" ht="27.75" hidden="false" customHeight="true" outlineLevel="0" collapsed="false">
      <c r="A7" s="2" t="n">
        <v>302</v>
      </c>
      <c r="B7" s="7" t="s">
        <v>28</v>
      </c>
      <c r="C7" s="4" t="s">
        <v>18</v>
      </c>
      <c r="D7" s="5" t="s">
        <v>32</v>
      </c>
      <c r="E7" s="4" t="s">
        <v>33</v>
      </c>
      <c r="F7" s="6" t="s">
        <v>34</v>
      </c>
      <c r="G7" s="4" t="s">
        <v>12</v>
      </c>
    </row>
    <row r="8" customFormat="false" ht="37.5" hidden="false" customHeight="true" outlineLevel="0" collapsed="false">
      <c r="A8" s="2" t="n">
        <v>304</v>
      </c>
      <c r="B8" s="7" t="s">
        <v>28</v>
      </c>
      <c r="C8" s="4" t="s">
        <v>18</v>
      </c>
      <c r="D8" s="5" t="s">
        <v>35</v>
      </c>
      <c r="E8" s="4" t="s">
        <v>25</v>
      </c>
      <c r="F8" s="6" t="s">
        <v>36</v>
      </c>
      <c r="G8" s="4" t="s">
        <v>12</v>
      </c>
    </row>
    <row r="9" customFormat="false" ht="137.25" hidden="false" customHeight="true" outlineLevel="0" collapsed="false">
      <c r="A9" s="2" t="n">
        <v>306</v>
      </c>
      <c r="B9" s="7" t="s">
        <v>28</v>
      </c>
      <c r="C9" s="4" t="s">
        <v>18</v>
      </c>
      <c r="D9" s="5" t="s">
        <v>37</v>
      </c>
      <c r="E9" s="4" t="s">
        <v>38</v>
      </c>
      <c r="F9" s="6" t="s">
        <v>39</v>
      </c>
      <c r="G9" s="4" t="s">
        <v>17</v>
      </c>
    </row>
    <row r="10" customFormat="false" ht="87" hidden="false" customHeight="true" outlineLevel="0" collapsed="false">
      <c r="A10" s="2" t="n">
        <v>307</v>
      </c>
      <c r="B10" s="7" t="s">
        <v>28</v>
      </c>
      <c r="C10" s="4" t="s">
        <v>18</v>
      </c>
      <c r="D10" s="5" t="s">
        <v>40</v>
      </c>
      <c r="E10" s="4" t="s">
        <v>25</v>
      </c>
      <c r="F10" s="6" t="s">
        <v>41</v>
      </c>
      <c r="G10" s="4" t="s">
        <v>22</v>
      </c>
    </row>
    <row r="11" customFormat="false" ht="37.5" hidden="false" customHeight="true" outlineLevel="0" collapsed="false">
      <c r="A11" s="2" t="n">
        <v>308</v>
      </c>
      <c r="B11" s="7" t="s">
        <v>28</v>
      </c>
      <c r="C11" s="4" t="s">
        <v>18</v>
      </c>
      <c r="D11" s="5" t="s">
        <v>42</v>
      </c>
      <c r="E11" s="4" t="s">
        <v>20</v>
      </c>
      <c r="F11" s="6" t="s">
        <v>43</v>
      </c>
      <c r="G11" s="4" t="s">
        <v>17</v>
      </c>
    </row>
    <row r="12" customFormat="false" ht="112.5" hidden="false" customHeight="true" outlineLevel="0" collapsed="false">
      <c r="A12" s="2" t="n">
        <v>309</v>
      </c>
      <c r="B12" s="7" t="s">
        <v>28</v>
      </c>
      <c r="C12" s="4" t="s">
        <v>18</v>
      </c>
      <c r="D12" s="5" t="s">
        <v>44</v>
      </c>
      <c r="E12" s="4" t="s">
        <v>20</v>
      </c>
      <c r="F12" s="6" t="s">
        <v>45</v>
      </c>
      <c r="G12" s="4" t="s">
        <v>22</v>
      </c>
    </row>
    <row r="13" customFormat="false" ht="259.5" hidden="false" customHeight="true" outlineLevel="0" collapsed="false">
      <c r="A13" s="2" t="n">
        <v>310</v>
      </c>
      <c r="B13" s="7" t="s">
        <v>28</v>
      </c>
      <c r="C13" s="4" t="s">
        <v>18</v>
      </c>
      <c r="D13" s="5" t="s">
        <v>46</v>
      </c>
      <c r="E13" s="4" t="s">
        <v>25</v>
      </c>
      <c r="F13" s="6" t="s">
        <v>47</v>
      </c>
      <c r="G13" s="4" t="s">
        <v>22</v>
      </c>
    </row>
    <row r="14" customFormat="false" ht="124.5" hidden="false" customHeight="true" outlineLevel="0" collapsed="false">
      <c r="A14" s="2" t="n">
        <v>404</v>
      </c>
      <c r="B14" s="8" t="s">
        <v>48</v>
      </c>
      <c r="C14" s="4" t="s">
        <v>8</v>
      </c>
      <c r="D14" s="5" t="s">
        <v>49</v>
      </c>
      <c r="E14" s="4" t="s">
        <v>25</v>
      </c>
      <c r="F14" s="6" t="s">
        <v>50</v>
      </c>
      <c r="G14" s="4" t="s">
        <v>22</v>
      </c>
    </row>
    <row r="15" customFormat="false" ht="150" hidden="false" customHeight="true" outlineLevel="0" collapsed="false">
      <c r="A15" s="2" t="n">
        <v>405</v>
      </c>
      <c r="B15" s="8" t="s">
        <v>48</v>
      </c>
      <c r="C15" s="4" t="s">
        <v>8</v>
      </c>
      <c r="D15" s="5" t="s">
        <v>51</v>
      </c>
      <c r="E15" s="4" t="s">
        <v>25</v>
      </c>
      <c r="F15" s="6" t="s">
        <v>52</v>
      </c>
      <c r="G15" s="4" t="s">
        <v>22</v>
      </c>
    </row>
    <row r="16" customFormat="false" ht="112.5" hidden="false" customHeight="true" outlineLevel="0" collapsed="false">
      <c r="A16" s="2" t="n">
        <v>407</v>
      </c>
      <c r="B16" s="8" t="s">
        <v>48</v>
      </c>
      <c r="C16" s="4" t="s">
        <v>18</v>
      </c>
      <c r="D16" s="5" t="s">
        <v>53</v>
      </c>
      <c r="E16" s="4" t="s">
        <v>54</v>
      </c>
      <c r="F16" s="6" t="s">
        <v>55</v>
      </c>
      <c r="G16" s="4" t="s">
        <v>22</v>
      </c>
    </row>
    <row r="17" customFormat="false" ht="27.75" hidden="false" customHeight="true" outlineLevel="0" collapsed="false">
      <c r="A17" s="2" t="n">
        <v>202</v>
      </c>
      <c r="B17" s="9" t="s">
        <v>56</v>
      </c>
      <c r="C17" s="4" t="s">
        <v>23</v>
      </c>
      <c r="D17" s="5" t="s">
        <v>57</v>
      </c>
      <c r="E17" s="4" t="s">
        <v>58</v>
      </c>
      <c r="F17" s="6" t="s">
        <v>59</v>
      </c>
      <c r="G17" s="4" t="s">
        <v>12</v>
      </c>
    </row>
    <row r="18" customFormat="false" ht="87" hidden="false" customHeight="true" outlineLevel="0" collapsed="false">
      <c r="A18" s="2" t="n">
        <v>203</v>
      </c>
      <c r="B18" s="9" t="s">
        <v>56</v>
      </c>
      <c r="C18" s="4" t="s">
        <v>8</v>
      </c>
      <c r="D18" s="5" t="s">
        <v>60</v>
      </c>
      <c r="E18" s="4" t="s">
        <v>61</v>
      </c>
      <c r="F18" s="6" t="s">
        <v>62</v>
      </c>
      <c r="G18" s="4" t="s">
        <v>22</v>
      </c>
    </row>
    <row r="19" customFormat="false" ht="27.75" hidden="false" customHeight="true" outlineLevel="0" collapsed="false">
      <c r="A19" s="2" t="n">
        <v>101</v>
      </c>
      <c r="B19" s="10" t="s">
        <v>63</v>
      </c>
      <c r="C19" s="4" t="s">
        <v>18</v>
      </c>
      <c r="D19" s="5" t="s">
        <v>64</v>
      </c>
      <c r="E19" s="4" t="s">
        <v>58</v>
      </c>
      <c r="F19" s="6" t="s">
        <v>65</v>
      </c>
      <c r="G19" s="4" t="s">
        <v>17</v>
      </c>
    </row>
    <row r="20" customFormat="false" ht="37.5" hidden="false" customHeight="true" outlineLevel="0" collapsed="false">
      <c r="A20" s="2" t="n">
        <v>102</v>
      </c>
      <c r="B20" s="10" t="s">
        <v>63</v>
      </c>
      <c r="C20" s="4" t="s">
        <v>13</v>
      </c>
      <c r="D20" s="5" t="s">
        <v>66</v>
      </c>
      <c r="E20" s="4" t="s">
        <v>58</v>
      </c>
      <c r="F20" s="6" t="s">
        <v>67</v>
      </c>
      <c r="G20" s="4" t="s">
        <v>17</v>
      </c>
    </row>
    <row r="21" customFormat="false" ht="27.75" hidden="false" customHeight="true" outlineLevel="0" collapsed="false">
      <c r="A21" s="2" t="n">
        <v>103</v>
      </c>
      <c r="B21" s="10" t="s">
        <v>63</v>
      </c>
      <c r="C21" s="4" t="s">
        <v>23</v>
      </c>
      <c r="D21" s="5" t="s">
        <v>68</v>
      </c>
      <c r="E21" s="4" t="s">
        <v>58</v>
      </c>
      <c r="F21" s="6" t="s">
        <v>69</v>
      </c>
      <c r="G21" s="4" t="s">
        <v>17</v>
      </c>
    </row>
    <row r="22" customFormat="false" ht="37.5" hidden="false" customHeight="true" outlineLevel="0" collapsed="false">
      <c r="A22" s="2" t="n">
        <v>104</v>
      </c>
      <c r="B22" s="10" t="s">
        <v>63</v>
      </c>
      <c r="C22" s="4" t="s">
        <v>23</v>
      </c>
      <c r="D22" s="5" t="s">
        <v>70</v>
      </c>
      <c r="E22" s="4" t="s">
        <v>58</v>
      </c>
      <c r="F22" s="6" t="s">
        <v>71</v>
      </c>
      <c r="G22" s="4" t="s">
        <v>12</v>
      </c>
    </row>
    <row r="23" customFormat="false" ht="27.75" hidden="false" customHeight="true" outlineLevel="0" collapsed="false">
      <c r="A23" s="2" t="n">
        <v>106</v>
      </c>
      <c r="B23" s="10" t="s">
        <v>63</v>
      </c>
      <c r="C23" s="4" t="s">
        <v>23</v>
      </c>
      <c r="D23" s="5" t="s">
        <v>72</v>
      </c>
      <c r="E23" s="4" t="s">
        <v>25</v>
      </c>
      <c r="F23" s="6" t="s">
        <v>73</v>
      </c>
      <c r="G23" s="4" t="s">
        <v>17</v>
      </c>
    </row>
    <row r="24" customFormat="false" ht="37.5" hidden="false" customHeight="true" outlineLevel="0" collapsed="false">
      <c r="A24" s="2" t="n">
        <v>107</v>
      </c>
      <c r="B24" s="10" t="s">
        <v>63</v>
      </c>
      <c r="C24" s="4" t="s">
        <v>23</v>
      </c>
      <c r="D24" s="5" t="s">
        <v>74</v>
      </c>
      <c r="E24" s="4" t="s">
        <v>58</v>
      </c>
      <c r="F24" s="6" t="s">
        <v>75</v>
      </c>
      <c r="G24" s="4" t="s">
        <v>22</v>
      </c>
    </row>
    <row r="25" customFormat="false" ht="62.25" hidden="false" customHeight="true" outlineLevel="0" collapsed="false">
      <c r="A25" s="2" t="n">
        <v>108</v>
      </c>
      <c r="B25" s="10" t="s">
        <v>63</v>
      </c>
      <c r="C25" s="4" t="s">
        <v>8</v>
      </c>
      <c r="D25" s="5" t="s">
        <v>76</v>
      </c>
      <c r="E25" s="4" t="s">
        <v>77</v>
      </c>
      <c r="F25" s="6" t="s">
        <v>78</v>
      </c>
      <c r="G25" s="4" t="s">
        <v>17</v>
      </c>
    </row>
    <row r="26" customFormat="false" ht="62.25" hidden="false" customHeight="true" outlineLevel="0" collapsed="false">
      <c r="A26" s="2" t="n">
        <v>110</v>
      </c>
      <c r="B26" s="10" t="s">
        <v>63</v>
      </c>
      <c r="C26" s="4" t="s">
        <v>79</v>
      </c>
      <c r="D26" s="5" t="s">
        <v>80</v>
      </c>
      <c r="E26" s="4" t="s">
        <v>81</v>
      </c>
      <c r="F26" s="6" t="s">
        <v>82</v>
      </c>
      <c r="G26" s="4" t="s">
        <v>27</v>
      </c>
    </row>
    <row r="27" customFormat="false" ht="99.75" hidden="false" customHeight="true" outlineLevel="0" collapsed="false">
      <c r="A27" s="2" t="n">
        <v>113</v>
      </c>
      <c r="B27" s="10" t="s">
        <v>63</v>
      </c>
      <c r="C27" s="4" t="s">
        <v>18</v>
      </c>
      <c r="D27" s="5" t="s">
        <v>83</v>
      </c>
      <c r="E27" s="4"/>
      <c r="F27" s="6" t="s">
        <v>84</v>
      </c>
      <c r="G27" s="4" t="s">
        <v>22</v>
      </c>
    </row>
    <row r="28" customFormat="false" ht="27.75" hidden="false" customHeight="true" outlineLevel="0" collapsed="false">
      <c r="A28" s="2" t="n">
        <v>201</v>
      </c>
      <c r="B28" s="10" t="s">
        <v>63</v>
      </c>
      <c r="C28" s="4" t="s">
        <v>23</v>
      </c>
      <c r="D28" s="5" t="s">
        <v>85</v>
      </c>
      <c r="E28" s="4" t="s">
        <v>58</v>
      </c>
      <c r="F28" s="6" t="s">
        <v>86</v>
      </c>
      <c r="G28" s="4" t="s">
        <v>17</v>
      </c>
    </row>
    <row r="29" customFormat="false" ht="27.75" hidden="false" customHeight="true" outlineLevel="0" collapsed="false">
      <c r="A29" s="2" t="n">
        <v>303</v>
      </c>
      <c r="B29" s="10" t="s">
        <v>63</v>
      </c>
      <c r="C29" s="4" t="s">
        <v>18</v>
      </c>
      <c r="D29" s="5" t="s">
        <v>87</v>
      </c>
      <c r="E29" s="4" t="s">
        <v>88</v>
      </c>
      <c r="F29" s="6" t="s">
        <v>89</v>
      </c>
      <c r="G29" s="4" t="s">
        <v>17</v>
      </c>
    </row>
    <row r="30" customFormat="false" ht="27.75" hidden="false" customHeight="true" outlineLevel="0" collapsed="false">
      <c r="A30" s="2" t="n">
        <v>305</v>
      </c>
      <c r="B30" s="10" t="s">
        <v>63</v>
      </c>
      <c r="C30" s="4" t="s">
        <v>18</v>
      </c>
      <c r="D30" s="5" t="s">
        <v>90</v>
      </c>
      <c r="E30" s="4" t="s">
        <v>25</v>
      </c>
      <c r="F30" s="6" t="s">
        <v>91</v>
      </c>
      <c r="G30" s="4" t="s">
        <v>17</v>
      </c>
    </row>
    <row r="31" customFormat="false" ht="87" hidden="false" customHeight="true" outlineLevel="0" collapsed="false">
      <c r="A31" s="2" t="n">
        <v>311</v>
      </c>
      <c r="B31" s="10" t="s">
        <v>63</v>
      </c>
      <c r="C31" s="4" t="s">
        <v>18</v>
      </c>
      <c r="D31" s="5" t="s">
        <v>92</v>
      </c>
      <c r="E31" s="4"/>
      <c r="F31" s="6" t="s">
        <v>93</v>
      </c>
      <c r="G31" s="4" t="s">
        <v>27</v>
      </c>
    </row>
    <row r="32" customFormat="false" ht="62.25" hidden="false" customHeight="true" outlineLevel="0" collapsed="false">
      <c r="A32" s="2" t="n">
        <v>312</v>
      </c>
      <c r="B32" s="10" t="s">
        <v>63</v>
      </c>
      <c r="C32" s="4" t="s">
        <v>13</v>
      </c>
      <c r="D32" s="5" t="s">
        <v>94</v>
      </c>
      <c r="E32" s="4"/>
      <c r="F32" s="6" t="s">
        <v>95</v>
      </c>
      <c r="G32" s="4" t="s">
        <v>27</v>
      </c>
    </row>
    <row r="33" customFormat="false" ht="49.5" hidden="false" customHeight="true" outlineLevel="0" collapsed="false">
      <c r="A33" s="2" t="n">
        <v>313</v>
      </c>
      <c r="B33" s="10" t="s">
        <v>63</v>
      </c>
      <c r="C33" s="4" t="s">
        <v>18</v>
      </c>
      <c r="D33" s="5" t="s">
        <v>96</v>
      </c>
      <c r="E33" s="4"/>
      <c r="F33" s="6" t="s">
        <v>97</v>
      </c>
      <c r="G33" s="4" t="s">
        <v>27</v>
      </c>
    </row>
    <row r="34" customFormat="false" ht="75" hidden="false" customHeight="true" outlineLevel="0" collapsed="false">
      <c r="A34" s="2" t="n">
        <v>314</v>
      </c>
      <c r="B34" s="10" t="s">
        <v>63</v>
      </c>
      <c r="C34" s="4" t="s">
        <v>13</v>
      </c>
      <c r="D34" s="5" t="s">
        <v>98</v>
      </c>
      <c r="E34" s="4"/>
      <c r="F34" s="6" t="s">
        <v>99</v>
      </c>
      <c r="G34" s="4" t="s">
        <v>27</v>
      </c>
    </row>
    <row r="35" customFormat="false" ht="49.5" hidden="false" customHeight="true" outlineLevel="0" collapsed="false">
      <c r="A35" s="2" t="n">
        <v>315</v>
      </c>
      <c r="B35" s="10" t="s">
        <v>63</v>
      </c>
      <c r="C35" s="4" t="s">
        <v>13</v>
      </c>
      <c r="D35" s="5" t="s">
        <v>100</v>
      </c>
      <c r="E35" s="4"/>
      <c r="F35" s="6" t="s">
        <v>101</v>
      </c>
      <c r="G35" s="4" t="s">
        <v>27</v>
      </c>
    </row>
    <row r="36" customFormat="false" ht="62.25" hidden="false" customHeight="true" outlineLevel="0" collapsed="false">
      <c r="A36" s="2" t="n">
        <v>316</v>
      </c>
      <c r="B36" s="10" t="s">
        <v>63</v>
      </c>
      <c r="C36" s="4" t="s">
        <v>18</v>
      </c>
      <c r="D36" s="5" t="s">
        <v>102</v>
      </c>
      <c r="E36" s="4"/>
      <c r="F36" s="6" t="s">
        <v>103</v>
      </c>
      <c r="G36" s="4" t="s">
        <v>27</v>
      </c>
    </row>
    <row r="37" customFormat="false" ht="150" hidden="false" customHeight="true" outlineLevel="0" collapsed="false">
      <c r="A37" s="2" t="n">
        <v>317</v>
      </c>
      <c r="B37" s="10" t="s">
        <v>63</v>
      </c>
      <c r="C37" s="4" t="s">
        <v>18</v>
      </c>
      <c r="D37" s="5" t="s">
        <v>104</v>
      </c>
      <c r="E37" s="4"/>
      <c r="F37" s="6" t="s">
        <v>105</v>
      </c>
      <c r="G37" s="4" t="s">
        <v>22</v>
      </c>
    </row>
    <row r="38" customFormat="false" ht="62.25" hidden="false" customHeight="true" outlineLevel="0" collapsed="false">
      <c r="A38" s="2" t="n">
        <v>318</v>
      </c>
      <c r="B38" s="10" t="s">
        <v>63</v>
      </c>
      <c r="C38" s="4" t="s">
        <v>18</v>
      </c>
      <c r="D38" s="5" t="s">
        <v>106</v>
      </c>
      <c r="E38" s="4"/>
      <c r="F38" s="6" t="s">
        <v>107</v>
      </c>
      <c r="G38" s="4" t="s">
        <v>22</v>
      </c>
    </row>
    <row r="39" customFormat="false" ht="99.75" hidden="false" customHeight="true" outlineLevel="0" collapsed="false">
      <c r="A39" s="2" t="n">
        <v>319</v>
      </c>
      <c r="B39" s="10" t="s">
        <v>63</v>
      </c>
      <c r="C39" s="4" t="s">
        <v>18</v>
      </c>
      <c r="D39" s="5" t="s">
        <v>108</v>
      </c>
      <c r="E39" s="4"/>
      <c r="F39" s="6" t="s">
        <v>109</v>
      </c>
      <c r="G39" s="4" t="s">
        <v>22</v>
      </c>
    </row>
    <row r="40" customFormat="false" ht="62.25" hidden="false" customHeight="true" outlineLevel="0" collapsed="false">
      <c r="A40" s="2" t="n">
        <v>320</v>
      </c>
      <c r="B40" s="10" t="s">
        <v>63</v>
      </c>
      <c r="C40" s="4" t="s">
        <v>18</v>
      </c>
      <c r="D40" s="5" t="s">
        <v>110</v>
      </c>
      <c r="E40" s="4"/>
      <c r="F40" s="6" t="s">
        <v>111</v>
      </c>
      <c r="G40" s="4" t="s">
        <v>22</v>
      </c>
    </row>
    <row r="41" customFormat="false" ht="112.5" hidden="false" customHeight="true" outlineLevel="0" collapsed="false">
      <c r="A41" s="2" t="n">
        <v>321</v>
      </c>
      <c r="B41" s="10" t="s">
        <v>63</v>
      </c>
      <c r="C41" s="4" t="s">
        <v>18</v>
      </c>
      <c r="D41" s="5" t="s">
        <v>112</v>
      </c>
      <c r="E41" s="4"/>
      <c r="F41" s="6" t="s">
        <v>113</v>
      </c>
      <c r="G41" s="4" t="s">
        <v>22</v>
      </c>
    </row>
    <row r="42" customFormat="false" ht="174.75" hidden="false" customHeight="true" outlineLevel="0" collapsed="false">
      <c r="A42" s="2" t="n">
        <v>322</v>
      </c>
      <c r="B42" s="10" t="s">
        <v>63</v>
      </c>
      <c r="C42" s="4" t="s">
        <v>18</v>
      </c>
      <c r="D42" s="5" t="s">
        <v>114</v>
      </c>
      <c r="E42" s="4"/>
      <c r="F42" s="6" t="s">
        <v>115</v>
      </c>
      <c r="G42" s="4" t="s">
        <v>22</v>
      </c>
    </row>
    <row r="43" customFormat="false" ht="112.5" hidden="false" customHeight="true" outlineLevel="0" collapsed="false">
      <c r="A43" s="2" t="n">
        <v>401</v>
      </c>
      <c r="B43" s="10" t="s">
        <v>63</v>
      </c>
      <c r="C43" s="4" t="s">
        <v>116</v>
      </c>
      <c r="D43" s="5" t="s">
        <v>117</v>
      </c>
      <c r="E43" s="4" t="s">
        <v>25</v>
      </c>
      <c r="F43" s="6" t="s">
        <v>118</v>
      </c>
      <c r="G43" s="4" t="s">
        <v>22</v>
      </c>
    </row>
    <row r="44" customFormat="false" ht="62.25" hidden="false" customHeight="true" outlineLevel="0" collapsed="false">
      <c r="A44" s="2" t="n">
        <v>402</v>
      </c>
      <c r="B44" s="10" t="s">
        <v>63</v>
      </c>
      <c r="C44" s="4" t="s">
        <v>116</v>
      </c>
      <c r="D44" s="5" t="s">
        <v>119</v>
      </c>
      <c r="E44" s="4" t="s">
        <v>25</v>
      </c>
      <c r="F44" s="6" t="s">
        <v>120</v>
      </c>
      <c r="G44" s="4" t="s">
        <v>22</v>
      </c>
    </row>
    <row r="45" customFormat="false" ht="75" hidden="false" customHeight="true" outlineLevel="0" collapsed="false">
      <c r="A45" s="2" t="n">
        <v>403</v>
      </c>
      <c r="B45" s="10" t="s">
        <v>63</v>
      </c>
      <c r="C45" s="4" t="s">
        <v>8</v>
      </c>
      <c r="D45" s="5" t="s">
        <v>121</v>
      </c>
      <c r="E45" s="4" t="s">
        <v>25</v>
      </c>
      <c r="F45" s="6" t="s">
        <v>122</v>
      </c>
      <c r="G45" s="4" t="s">
        <v>22</v>
      </c>
    </row>
    <row r="46" customFormat="false" ht="75" hidden="false" customHeight="true" outlineLevel="0" collapsed="false">
      <c r="A46" s="2" t="n">
        <v>406</v>
      </c>
      <c r="B46" s="10" t="s">
        <v>63</v>
      </c>
      <c r="C46" s="4" t="s">
        <v>18</v>
      </c>
      <c r="D46" s="5" t="s">
        <v>123</v>
      </c>
      <c r="E46" s="4" t="s">
        <v>25</v>
      </c>
      <c r="F46" s="6" t="s">
        <v>124</v>
      </c>
      <c r="G46" s="4"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9"/>
    <col collapsed="false" customWidth="true" hidden="false" outlineLevel="0" max="3" min="3" style="0" width="74"/>
  </cols>
  <sheetData>
    <row r="1" customFormat="false" ht="17.35" hidden="false" customHeight="false" outlineLevel="0" collapsed="false">
      <c r="A1" s="11" t="s">
        <v>125</v>
      </c>
    </row>
    <row r="2" customFormat="false" ht="15" hidden="false" customHeight="false" outlineLevel="0" collapsed="false">
      <c r="A2" s="12" t="s">
        <v>126</v>
      </c>
    </row>
    <row r="4" customFormat="false" ht="15" hidden="false" customHeight="false" outlineLevel="0" collapsed="false">
      <c r="A4" s="13" t="s">
        <v>1</v>
      </c>
      <c r="B4" s="13" t="s">
        <v>127</v>
      </c>
      <c r="C4" s="13" t="s">
        <v>128</v>
      </c>
    </row>
    <row r="5" customFormat="false" ht="15" hidden="false" customHeight="false" outlineLevel="0" collapsed="false">
      <c r="A5" s="14" t="s">
        <v>7</v>
      </c>
      <c r="B5" s="15" t="n">
        <f aca="false">COUNTIF('Punch List'!$B$2:$B$46,A5)</f>
        <v>4</v>
      </c>
      <c r="C5" s="16" t="s">
        <v>129</v>
      </c>
    </row>
    <row r="6" customFormat="false" ht="15" hidden="false" customHeight="false" outlineLevel="0" collapsed="false">
      <c r="A6" s="17" t="s">
        <v>28</v>
      </c>
      <c r="B6" s="15" t="n">
        <f aca="false">COUNTIF('Punch List'!$B$2:$B$46,A6)</f>
        <v>8</v>
      </c>
      <c r="C6" s="16" t="s">
        <v>130</v>
      </c>
    </row>
    <row r="7" customFormat="false" ht="15" hidden="false" customHeight="false" outlineLevel="0" collapsed="false">
      <c r="A7" s="18" t="s">
        <v>48</v>
      </c>
      <c r="B7" s="15" t="n">
        <f aca="false">COUNTIF('Punch List'!$B$2:$B$46,A7)</f>
        <v>3</v>
      </c>
      <c r="C7" s="16" t="s">
        <v>131</v>
      </c>
    </row>
    <row r="8" customFormat="false" ht="15" hidden="false" customHeight="false" outlineLevel="0" collapsed="false">
      <c r="A8" s="19" t="s">
        <v>56</v>
      </c>
      <c r="B8" s="15" t="n">
        <f aca="false">COUNTIF('Punch List'!$B$2:$B$46,A8)</f>
        <v>2</v>
      </c>
      <c r="C8" s="16" t="s">
        <v>132</v>
      </c>
    </row>
    <row r="9" customFormat="false" ht="15" hidden="false" customHeight="false" outlineLevel="0" collapsed="false">
      <c r="A9" s="20" t="s">
        <v>63</v>
      </c>
      <c r="B9" s="15" t="n">
        <f aca="false">COUNTIF('Punch List'!$B$2:$B$46,A9)</f>
        <v>28</v>
      </c>
      <c r="C9" s="16" t="s">
        <v>133</v>
      </c>
    </row>
    <row r="10" customFormat="false" ht="15" hidden="false" customHeight="false" outlineLevel="0" collapsed="false">
      <c r="A10" s="21" t="s">
        <v>134</v>
      </c>
      <c r="B10" s="21" t="n">
        <f aca="false">COUNTA('Punch List'!$A$2:$A$46)</f>
        <v>45</v>
      </c>
      <c r="C10" s="22" t="s">
        <v>135</v>
      </c>
    </row>
    <row r="12" customFormat="false" ht="15" hidden="false" customHeight="false" outlineLevel="0" collapsed="false">
      <c r="A12" s="23" t="s">
        <v>136</v>
      </c>
    </row>
    <row r="13" customFormat="false" ht="15" hidden="false" customHeight="false" outlineLevel="0" collapsed="false">
      <c r="A13" s="13" t="s">
        <v>2</v>
      </c>
      <c r="B13" s="13" t="s">
        <v>137</v>
      </c>
    </row>
    <row r="14" customFormat="false" ht="15" hidden="false" customHeight="false" outlineLevel="0" collapsed="false">
      <c r="A14" s="22" t="s">
        <v>23</v>
      </c>
      <c r="B14" s="22" t="n">
        <f aca="false">SUMPRODUCT(--(ISNUMBER(SEARCH(A14,'Punch List'!$C$2:$C$46)))*--('Punch List'!$B$2:$B$46&lt;&gt;"Done"))</f>
        <v>3</v>
      </c>
    </row>
    <row r="15" customFormat="false" ht="15" hidden="false" customHeight="false" outlineLevel="0" collapsed="false">
      <c r="A15" s="22" t="s">
        <v>18</v>
      </c>
      <c r="B15" s="22" t="n">
        <f aca="false">SUMPRODUCT(--(ISNUMBER(SEARCH(A15,'Punch List'!$C$2:$C$46)))*--('Punch List'!$B$2:$B$46&lt;&gt;"Done"))</f>
        <v>11</v>
      </c>
    </row>
    <row r="16" customFormat="false" ht="15" hidden="false" customHeight="false" outlineLevel="0" collapsed="false">
      <c r="A16" s="22" t="s">
        <v>8</v>
      </c>
      <c r="B16" s="22" t="n">
        <f aca="false">SUMPRODUCT(--(ISNUMBER(SEARCH(A16,'Punch List'!$C$2:$C$46)))*--('Punch List'!$B$2:$B$46&lt;&gt;"Done"))</f>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2026-10-16T15:28:15Z</dcterms:created>
  <dc:creator>openpyxl</dc:creator>
  <dc:description/>
  <dc:language>en-US</dc:language>
  <cp:lastModifiedBy/>
  <dcterms:modified xsi:type="dcterms:W3CDTF">2026-10-16T15:28:15Z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